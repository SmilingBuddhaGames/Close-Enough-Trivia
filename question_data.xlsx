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entalfloss/Dropbox/CLOSE ENOUGH TRIVIA/CET LATEST/"/>
    </mc:Choice>
  </mc:AlternateContent>
  <xr:revisionPtr revIDLastSave="0" documentId="13_ncr:1_{7EF79072-2382-7945-A282-711AD685369B}" xr6:coauthVersionLast="47" xr6:coauthVersionMax="47" xr10:uidLastSave="{00000000-0000-0000-0000-000000000000}"/>
  <bookViews>
    <workbookView xWindow="16440" yWindow="-18940" windowWidth="33360" windowHeight="15640" activeTab="3" xr2:uid="{23454F11-F39F-C74E-948E-1E82ADD758DE}"/>
  </bookViews>
  <sheets>
    <sheet name="PINCH" sheetId="1" r:id="rId1"/>
    <sheet name="MAP" sheetId="2" r:id="rId2"/>
    <sheet name="BONUS" sheetId="3" r:id="rId3"/>
    <sheet name="DRA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<sst xmlns="http://schemas.openxmlformats.org/spreadsheetml/2006/main" count="334" uniqueCount="292">
  <si>
    <t>question_id</t>
  </si>
  <si>
    <t>question_text</t>
  </si>
  <si>
    <t>label_interval</t>
  </si>
  <si>
    <t>major_tick</t>
  </si>
  <si>
    <t>minor_tick</t>
  </si>
  <si>
    <t>snap_interval</t>
  </si>
  <si>
    <t>format_type</t>
  </si>
  <si>
    <t>points_per_extra_unit</t>
  </si>
  <si>
    <t>max_width_units</t>
  </si>
  <si>
    <t>min_value</t>
  </si>
  <si>
    <t>max_value</t>
  </si>
  <si>
    <t>default_start</t>
  </si>
  <si>
    <t>default_end</t>
  </si>
  <si>
    <t>unit</t>
  </si>
  <si>
    <t>true_value</t>
  </si>
  <si>
    <t>answer_text</t>
  </si>
  <si>
    <t>min_ppn</t>
  </si>
  <si>
    <t>pinch_A</t>
  </si>
  <si>
    <t>INTEGER</t>
  </si>
  <si>
    <t>The word "Bye" is sung 57 times in "Bye Bye Bye".</t>
  </si>
  <si>
    <t>pinch_B</t>
  </si>
  <si>
    <t>How many movies has Martin Scorsese made about the Italian Mafia?</t>
  </si>
  <si>
    <t>There are only 4 Scorcese movies about the Italian Mafia.</t>
  </si>
  <si>
    <t>pinch_C</t>
  </si>
  <si>
    <t>What's the Guinness World Record for "Longest Nipple Hair" (rounded to the nearest inch)?</t>
  </si>
  <si>
    <t>Guinness's record for "longest nipple hair" is 6.69 inches.</t>
  </si>
  <si>
    <t>pinch_D</t>
  </si>
  <si>
    <t>In the United States, how many calories are in a Big Mac, rounded to the nearest 50?</t>
  </si>
  <si>
    <t>American Big Macs have 580 calories.</t>
  </si>
  <si>
    <t>pinch_E</t>
  </si>
  <si>
    <t>As of 2025, how many official Star Wars movies have been released theatrically?</t>
  </si>
  <si>
    <t>By 2025, 12 Star Wars movies had been released theatrically.</t>
  </si>
  <si>
    <t>pinch_F</t>
  </si>
  <si>
    <t>How many Arabic numerals are there?</t>
  </si>
  <si>
    <t>There are 10 Arabic numerals: 1, 2, 3, 4, 5, 6, 7, 8, 9 and 0.</t>
  </si>
  <si>
    <t>pinch_G</t>
  </si>
  <si>
    <t>What is Donald Trump's birth month?</t>
  </si>
  <si>
    <t>month</t>
  </si>
  <si>
    <t>Donald Trump was born on June 14th, 1946 (the year of the Dog).</t>
  </si>
  <si>
    <t>pinch_H</t>
  </si>
  <si>
    <t>The Catholic Bible is made up of how many books?</t>
  </si>
  <si>
    <t>There are 73 books in the Catholic Bible.</t>
  </si>
  <si>
    <t>pinch_I</t>
  </si>
  <si>
    <t>Velcro was invented in 1955.</t>
  </si>
  <si>
    <t>pinch_J</t>
  </si>
  <si>
    <t>What's the Guinness World Record for "Longest Fart," rounded to the nearest 15 seconds?</t>
  </si>
  <si>
    <t>time</t>
  </si>
  <si>
    <t>Guinness's longest recorded fart was 2 min, 42 sec (162 sec)</t>
  </si>
  <si>
    <t>pinch_K</t>
  </si>
  <si>
    <t>When Nintendo's "Gameboy" launched in 1989, what was its suggested retail price?</t>
  </si>
  <si>
    <t>$</t>
  </si>
  <si>
    <t>The Gameboy retailed for $89.99 at launch.</t>
  </si>
  <si>
    <t>geo_source</t>
  </si>
  <si>
    <t>projection</t>
  </si>
  <si>
    <t>geo_feature_property</t>
  </si>
  <si>
    <t>visible_ids</t>
  </si>
  <si>
    <t>correct_ids</t>
  </si>
  <si>
    <t>max_selectable</t>
  </si>
  <si>
    <t>image_file</t>
  </si>
  <si>
    <t>svg_file</t>
  </si>
  <si>
    <t>map_q_1</t>
  </si>
  <si>
    <t>Which state is Wyoming?</t>
  </si>
  <si>
    <t>us_states</t>
  </si>
  <si>
    <t>albersUsa</t>
  </si>
  <si>
    <t>name</t>
  </si>
  <si>
    <t>Washington,Oregon,Idaho,Montana,Wyoming,North Dakota,South Dakota,Nebraska,Colorado,Utah</t>
  </si>
  <si>
    <t>Wyoming</t>
  </si>
  <si>
    <t>map_q_2</t>
  </si>
  <si>
    <t>Which state is Missouri?</t>
  </si>
  <si>
    <t>Oklahoma,Kansas,Nebraska,South Dakota,Iowa,Illinois,Indiana,Missouri,Arkansas,Mississippi</t>
  </si>
  <si>
    <t>Missouri</t>
  </si>
  <si>
    <t>map_q_3</t>
  </si>
  <si>
    <t>Which country is Somalia?</t>
  </si>
  <si>
    <t>world_countries</t>
  </si>
  <si>
    <t>naturalEarth</t>
  </si>
  <si>
    <t>Somalia,Ethiopia,Djibouti,Eritrea,Kenya,South Sudan,Sudan,Tanzania,Egypt,Libya</t>
  </si>
  <si>
    <t>Somalia</t>
  </si>
  <si>
    <t>map_q_4</t>
  </si>
  <si>
    <t>Which country is Paraguay?</t>
  </si>
  <si>
    <t>Paraguay,Bolivia,Brazil,Uruguay,Argentina,Chile,Peru,Ecuador,Colombia,Venezuela</t>
  </si>
  <si>
    <t>Paraguay</t>
  </si>
  <si>
    <t>map_q_5</t>
  </si>
  <si>
    <t>Which part of New York City is Brooklyn?</t>
  </si>
  <si>
    <t>nyc_boroughs</t>
  </si>
  <si>
    <t>mercator</t>
  </si>
  <si>
    <t>Manhattan,The Bronx,Queens,Brooklyn,Staten Island</t>
  </si>
  <si>
    <t>Brooklyn</t>
  </si>
  <si>
    <t>map_q_A</t>
  </si>
  <si>
    <t>Where on these blue jeans is the "yoke"?</t>
  </si>
  <si>
    <t>custom_image</t>
  </si>
  <si>
    <t>fill</t>
  </si>
  <si>
    <t>#72fe01</t>
  </si>
  <si>
    <t>IMAGES/IMAGE QUESTIONS/map_q_A_jeans.png</t>
  </si>
  <si>
    <t>IMAGES/IMAGE QUESTIONS/map_q_A_jeans.svg</t>
  </si>
  <si>
    <t>hint_text</t>
  </si>
  <si>
    <t>points_per_correct</t>
  </si>
  <si>
    <t>choice_1_text</t>
  </si>
  <si>
    <t>choice_1_correct</t>
  </si>
  <si>
    <t>choice_2_text</t>
  </si>
  <si>
    <t>choice_2_correct</t>
  </si>
  <si>
    <t>choice_3_text</t>
  </si>
  <si>
    <t>choice_3_correct</t>
  </si>
  <si>
    <t>choice_4_text</t>
  </si>
  <si>
    <t>choice_4_correct</t>
  </si>
  <si>
    <t>choice_5_text</t>
  </si>
  <si>
    <t>choice_5_correct</t>
  </si>
  <si>
    <t>choice_6_text</t>
  </si>
  <si>
    <t>choice_6_correct</t>
  </si>
  <si>
    <t>choice_7_text</t>
  </si>
  <si>
    <t>choice_7_correct</t>
  </si>
  <si>
    <t>choice_8_text</t>
  </si>
  <si>
    <t>choice_8_correct</t>
  </si>
  <si>
    <t>choice_9_text</t>
  </si>
  <si>
    <t>choice_9_correct</t>
  </si>
  <si>
    <t>choice_10_text</t>
  </si>
  <si>
    <t>choice_10_correct</t>
  </si>
  <si>
    <t>choice_11_text</t>
  </si>
  <si>
    <t>choice_11_correct</t>
  </si>
  <si>
    <t>choice_12_text</t>
  </si>
  <si>
    <t>choice_12_correct</t>
  </si>
  <si>
    <t>choice_13_text</t>
  </si>
  <si>
    <t>choice_13_correct</t>
  </si>
  <si>
    <t>choice_14_text</t>
  </si>
  <si>
    <t>choice_14_correct</t>
  </si>
  <si>
    <t>hard_fail</t>
  </si>
  <si>
    <t>shuffle_choices</t>
  </si>
  <si>
    <t>category</t>
  </si>
  <si>
    <t>bonus_q_uk_pm</t>
  </si>
  <si>
    <t>Which of these people have been the Prime Minister of the UK?</t>
  </si>
  <si>
    <t>Pick as many as you like, but even one wrong choice means you get NO POINTS.</t>
  </si>
  <si>
    <t>Winston Churchill</t>
  </si>
  <si>
    <t>Clement Attlee</t>
  </si>
  <si>
    <t>Boris Johnson</t>
  </si>
  <si>
    <t>Theresa May</t>
  </si>
  <si>
    <t>Tony Blair</t>
  </si>
  <si>
    <t>Rishi Sunak</t>
  </si>
  <si>
    <t>Gordon Brown</t>
  </si>
  <si>
    <t>James Merryweather</t>
  </si>
  <si>
    <t>Andrew Lloyd Webber</t>
  </si>
  <si>
    <t>G. Robinald Shelvisham</t>
  </si>
  <si>
    <t>Peter Cushing</t>
  </si>
  <si>
    <t>Alastair Davies</t>
  </si>
  <si>
    <t>These people have all been the Prime Minister of the UK:</t>
  </si>
  <si>
    <t>BRITISH PRIME MINISTERS</t>
  </si>
  <si>
    <t>bonus_q_dating</t>
  </si>
  <si>
    <t>Which of these are actual dating apps?</t>
  </si>
  <si>
    <t>Tinder</t>
  </si>
  <si>
    <t>Pure</t>
  </si>
  <si>
    <t>Coffee Meets Bagel</t>
  </si>
  <si>
    <t>Christian Mingle</t>
  </si>
  <si>
    <t>Bumble</t>
  </si>
  <si>
    <t>Hugly</t>
  </si>
  <si>
    <t>Klomigo</t>
  </si>
  <si>
    <t>PickDerek</t>
  </si>
  <si>
    <t>DizneeAdultz</t>
  </si>
  <si>
    <t>These are all real dating apps:</t>
  </si>
  <si>
    <t>DATING APPS</t>
  </si>
  <si>
    <t>bonus_q_kami</t>
  </si>
  <si>
    <t>Hair</t>
  </si>
  <si>
    <t>Paper</t>
  </si>
  <si>
    <t>Deity</t>
  </si>
  <si>
    <t>Shinto Spirit</t>
  </si>
  <si>
    <t>Director</t>
  </si>
  <si>
    <t>1st Half of a Book</t>
  </si>
  <si>
    <t>Emperor</t>
  </si>
  <si>
    <t>Imitation crab</t>
  </si>
  <si>
    <t>Circuitry</t>
  </si>
  <si>
    <t>Wool</t>
  </si>
  <si>
    <t>Cuteness</t>
  </si>
  <si>
    <t>These are actual definitions of "Kami":</t>
  </si>
  <si>
    <t>JAPAN</t>
  </si>
  <si>
    <t>bonus_q_trek_planets</t>
  </si>
  <si>
    <t>Andor</t>
  </si>
  <si>
    <t>Betazed</t>
  </si>
  <si>
    <t>Bajor</t>
  </si>
  <si>
    <t>Risa</t>
  </si>
  <si>
    <t>Vulcan</t>
  </si>
  <si>
    <t>Xindus</t>
  </si>
  <si>
    <t>Romulus</t>
  </si>
  <si>
    <t>Schpluto</t>
  </si>
  <si>
    <t>Kardashia</t>
  </si>
  <si>
    <t>Spaghet</t>
  </si>
  <si>
    <t>Wenus</t>
  </si>
  <si>
    <t>These planets exist in the Star Trek universe:</t>
  </si>
  <si>
    <t>SCIENCE FICTION</t>
  </si>
  <si>
    <t>bonus_q_2008_hits</t>
  </si>
  <si>
    <t>In 2008, which of these had a #1 hit on the Billboard Hot 100?</t>
  </si>
  <si>
    <t>Flo Rida</t>
  </si>
  <si>
    <t>Coldplay</t>
  </si>
  <si>
    <t>Pink</t>
  </si>
  <si>
    <t>Britney Spears</t>
  </si>
  <si>
    <t>Katy Perry</t>
  </si>
  <si>
    <t>T.I.</t>
  </si>
  <si>
    <t>Green Day</t>
  </si>
  <si>
    <t>My Chemical Romance</t>
  </si>
  <si>
    <t>Fallout Boy</t>
  </si>
  <si>
    <t>Capt. Lou Albano</t>
  </si>
  <si>
    <t>These were #1 Billboard Hot 100 hits in 2008.</t>
  </si>
  <si>
    <t>2008 MUSIC</t>
  </si>
  <si>
    <t>bonus_q_norway_snow</t>
  </si>
  <si>
    <t>Which of these are Norwegian words for "snow"?</t>
  </si>
  <si>
    <t>Slaps</t>
  </si>
  <si>
    <t>Skare</t>
  </si>
  <si>
    <t>These are Noregian words for "snow".</t>
  </si>
  <si>
    <t>SCANDINAVIA</t>
  </si>
  <si>
    <t>bonus_q_ikea</t>
  </si>
  <si>
    <t>Which of these are real IKEA products?</t>
  </si>
  <si>
    <t>Billy</t>
  </si>
  <si>
    <t>Jeff</t>
  </si>
  <si>
    <t>Slitbar</t>
  </si>
  <si>
    <t>Malm</t>
  </si>
  <si>
    <t>Brimnes</t>
  </si>
  <si>
    <t>Hemnes</t>
  </si>
  <si>
    <t>Jorkinit</t>
  </si>
  <si>
    <t>Naurwaiy</t>
  </si>
  <si>
    <t>Heppehbebeh</t>
  </si>
  <si>
    <t>Marshen</t>
  </si>
  <si>
    <t>Ninji</t>
  </si>
  <si>
    <t>These are actual IKEA products:</t>
  </si>
  <si>
    <t>FURNITURE</t>
  </si>
  <si>
    <t>NOT including echoes, how many times is the word "bye" sung in NSYNC's "Bye Bye Bye"?</t>
  </si>
  <si>
    <t>The word "Kami" has many definitions in Japanese. Which are correct?</t>
  </si>
  <si>
    <t>What year was Velcro (A.K.A. "Hook &amp; Loop") invented?</t>
  </si>
  <si>
    <t>Beyoncé</t>
  </si>
  <si>
    <t>Snø</t>
  </si>
  <si>
    <t>Nysnø</t>
  </si>
  <si>
    <t>Fokksnø</t>
  </si>
  <si>
    <t>Kram snø</t>
  </si>
  <si>
    <t>Sørpe</t>
  </si>
  <si>
    <t>Flåkens</t>
  </si>
  <si>
    <t>Snøbizness</t>
  </si>
  <si>
    <t>Slëëten</t>
  </si>
  <si>
    <t>Slippurï</t>
  </si>
  <si>
    <t>Poäng</t>
  </si>
  <si>
    <t>Which of these planets exist in the &lt;i&gt;Star Trek&lt;/i&gt; universe?</t>
  </si>
  <si>
    <t>Bannister, Lord Broadstairs</t>
  </si>
  <si>
    <t>Wishmood</t>
  </si>
  <si>
    <t>Sir Anthony Eden</t>
  </si>
  <si>
    <t>Adding flavor</t>
  </si>
  <si>
    <t>Commie</t>
  </si>
  <si>
    <t>Ceti Alpha V</t>
  </si>
  <si>
    <t>Tashayar III</t>
  </si>
  <si>
    <t>Kappa Rho</t>
  </si>
  <si>
    <t>Leona Lewis</t>
  </si>
  <si>
    <t>Løssnø</t>
  </si>
  <si>
    <t>Fallensnø</t>
  </si>
  <si>
    <t>Snǒklar</t>
  </si>
  <si>
    <t>Screpps</t>
  </si>
  <si>
    <t>Bjursta</t>
  </si>
  <si>
    <t>Tentacle</t>
  </si>
  <si>
    <t>The Ink Spots</t>
  </si>
  <si>
    <t>Mary J. Blige</t>
  </si>
  <si>
    <t>Polyculer</t>
  </si>
  <si>
    <t>Friski</t>
  </si>
  <si>
    <t>S'more</t>
  </si>
  <si>
    <t>Happn</t>
  </si>
  <si>
    <t>Where is the hyoid bone?</t>
  </si>
  <si>
    <t>IMAGES/IMAGE QUESTIONS/map_q_B_body.svg</t>
  </si>
  <si>
    <t>map_q_B</t>
  </si>
  <si>
    <t>IMAGES/IMAGE QUESTIONS/map_q_B_body.png</t>
  </si>
  <si>
    <t>THIS IS THE YOKE:</t>
  </si>
  <si>
    <t>THE HYOID BONE IS HERE:</t>
  </si>
  <si>
    <t>answer_mask_file</t>
  </si>
  <si>
    <t>correct_color</t>
  </si>
  <si>
    <t>max_area_percent</t>
  </si>
  <si>
    <t>q_draw_A</t>
  </si>
  <si>
    <t>IMAGES/DRAW QUESTIONS/q_draw_A.png</t>
  </si>
  <si>
    <t>IMAGES/DRAW QUESTIONS/q_draw_A_mask.png</t>
  </si>
  <si>
    <t>#00FF00</t>
  </si>
  <si>
    <t>THIS IS CARMINE:</t>
  </si>
  <si>
    <t>answer_screen</t>
  </si>
  <si>
    <t>IMAGES/DRAW QUESTIONS/q_draw_A_answer_screen.png</t>
  </si>
  <si>
    <t>q_draw_B</t>
  </si>
  <si>
    <t>IMAGES/DRAW QUESTIONS/q_draw_B.png</t>
  </si>
  <si>
    <t>IMAGES/DRAW QUESTIONS/q_draw_B_mask.png</t>
  </si>
  <si>
    <t>IMAGES/DRAW QUESTIONS/q_draw_B_answer_screen.png</t>
  </si>
  <si>
    <t>THIS SHOT IS CHARTREUSE:</t>
  </si>
  <si>
    <t>One of these triangles is carmine-colored. Draw a shape that contains it!</t>
  </si>
  <si>
    <t>One of these shots is a chartreuse… draw a shape that contains it!</t>
  </si>
  <si>
    <t>q_draw_C</t>
  </si>
  <si>
    <t>One pasta shape is "rotelle"… draw a shape that contains it!</t>
  </si>
  <si>
    <t>IMAGES/DRAW QUESTIONS/q_draw_C.png</t>
  </si>
  <si>
    <t>IMAGES/DRAW QUESTIONS/q_draw_C_mask.png</t>
  </si>
  <si>
    <t>THIS IS ROTELLE PASTA:</t>
  </si>
  <si>
    <t>IMAGES/DRAW QUESTIONS/q_draw_C_answer_screen.png</t>
  </si>
  <si>
    <t>line_ppn_rate</t>
  </si>
  <si>
    <t>q_draw_D</t>
  </si>
  <si>
    <t>One gemstone is amethyst… draw a shape that contains it!</t>
  </si>
  <si>
    <t>IMAGES/DRAW QUESTIONS/q_draw_D.png</t>
  </si>
  <si>
    <t>IMAGES/DRAW QUESTIONS/q_draw_D_mask.png</t>
  </si>
  <si>
    <t>THIS ONE'S AMETHYST:</t>
  </si>
  <si>
    <t>IMAGES/DRAW QUESTIONS/q_draw_D_answer_screen.png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</si>
</sst>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"/>
      <color theme="1"/>
      <name val="Aptos Narrow"/>
      <scheme val="minor"/>
    </font>
    <font>
      <b/>
      <sz val="8"/>
      <color theme="1"/>
      <name val="Aptos Narrow"/>
      <scheme val="minor"/>
    </font>
    <font>
      <b/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b/>
      <sz val="11"/>
      <name val="Arial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DBC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E1F2"/>
        <bgColor rgb="FFD9E1F2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0" fillId="4" borderId="2" xfId="0" applyFill="1" applyBorder="1"/>
    <xf numFmtId="0" fontId="0" fillId="2" borderId="2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0" xfId="0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4" xfId="0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4" xfId="0" applyBorder="1"/>
    <xf numFmtId="0" fontId="0" fillId="0" borderId="14" xfId="0" quotePrefix="1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wrapText="1"/>
    </xf>
    <xf numFmtId="0" fontId="3" fillId="0" borderId="14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4" xfId="0" applyFill="1" applyBorder="1"/>
    <xf numFmtId="0" fontId="5" fillId="0" borderId="13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0" fillId="3" borderId="1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4" fillId="0" borderId="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8" fillId="5" borderId="7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6" borderId="10" xfId="0" applyFont="1" applyFill="1" applyBorder="1" applyAlignment="1">
      <alignment horizontal="left"/>
    </xf>
    <xf numFmtId="0" fontId="10" fillId="0" borderId="0" xfId="0" applyFont="1"/>
    <xf numFmtId="0" fontId="9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B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32CB-3912-F247-8D46-62AA3D5AE696}">
  <dimension ref="A1:Q18"/>
  <sheetViews>
    <sheetView workbookViewId="0">
      <selection activeCell="B7" sqref="B7"/>
    </sheetView>
  </sheetViews>
  <sheetFormatPr baseColWidth="10" defaultRowHeight="16" x14ac:dyDescent="0.2"/>
  <cols>
    <col min="2" max="2" width="57.6640625" style="1" customWidth="1"/>
    <col min="7" max="7" width="7" style="82" customWidth="1"/>
    <col min="8" max="8" width="18.5" customWidth="1"/>
    <col min="9" max="9" width="15.33203125" customWidth="1"/>
    <col min="10" max="10" width="9.6640625" customWidth="1"/>
    <col min="14" max="14" width="8.5" customWidth="1"/>
    <col min="17" max="17" width="9.1640625" customWidth="1"/>
  </cols>
  <sheetData>
    <row r="1" spans="1:17" ht="17" x14ac:dyDescent="0.2">
      <c r="A1" s="80" t="s">
        <v>0</v>
      </c>
      <c r="B1" s="83" t="s">
        <v>1</v>
      </c>
      <c r="C1" s="80" t="s">
        <v>2</v>
      </c>
      <c r="D1" s="80" t="s">
        <v>3</v>
      </c>
      <c r="E1" s="80" t="s">
        <v>4</v>
      </c>
      <c r="F1" s="80" t="s">
        <v>5</v>
      </c>
      <c r="G1" s="84" t="s">
        <v>6</v>
      </c>
      <c r="H1" s="80" t="s">
        <v>7</v>
      </c>
      <c r="I1" s="80" t="s">
        <v>8</v>
      </c>
      <c r="J1" s="80" t="s">
        <v>9</v>
      </c>
      <c r="K1" s="80" t="s">
        <v>10</v>
      </c>
      <c r="L1" s="80" t="s">
        <v>11</v>
      </c>
      <c r="M1" s="80" t="s">
        <v>12</v>
      </c>
      <c r="N1" s="80" t="s">
        <v>13</v>
      </c>
      <c r="O1" s="80" t="s">
        <v>14</v>
      </c>
      <c r="P1" s="80" t="s">
        <v>15</v>
      </c>
      <c r="Q1" s="80" t="s">
        <v>16</v>
      </c>
    </row>
    <row r="2" spans="1:17" ht="34" x14ac:dyDescent="0.2">
      <c r="A2" s="80" t="s">
        <v>17</v>
      </c>
      <c r="B2" s="83" t="s">
        <v>220</v>
      </c>
      <c r="C2" s="80">
        <v>10</v>
      </c>
      <c r="D2" s="80">
        <v>5</v>
      </c>
      <c r="E2" s="80">
        <v>1</v>
      </c>
      <c r="F2" s="80"/>
      <c r="G2" s="84" t="s">
        <v>18</v>
      </c>
      <c r="H2" s="80">
        <v>1</v>
      </c>
      <c r="I2" s="80">
        <v>95</v>
      </c>
      <c r="J2" s="80">
        <v>0</v>
      </c>
      <c r="K2" s="80">
        <v>100</v>
      </c>
      <c r="L2" s="80">
        <v>35</v>
      </c>
      <c r="M2" s="80">
        <v>85</v>
      </c>
      <c r="N2" s="80"/>
      <c r="O2" s="80">
        <v>57</v>
      </c>
      <c r="P2" s="80" t="s">
        <v>19</v>
      </c>
      <c r="Q2" s="80">
        <f>100-(I2/MIN(IF(C2&lt;&gt;"",C2,9999),IF(D2&lt;&gt;"",D2,9999),IF(E2&lt;&gt;"",E2,9999))*H2)</f>
        <v>5</v>
      </c>
    </row>
    <row r="3" spans="1:17" ht="17" x14ac:dyDescent="0.2">
      <c r="A3" s="80" t="s">
        <v>20</v>
      </c>
      <c r="B3" s="83" t="s">
        <v>21</v>
      </c>
      <c r="C3" s="80">
        <v>5</v>
      </c>
      <c r="D3" s="80">
        <v>1</v>
      </c>
      <c r="E3" s="80"/>
      <c r="F3" s="80"/>
      <c r="G3" s="84" t="s">
        <v>18</v>
      </c>
      <c r="H3" s="80">
        <v>5</v>
      </c>
      <c r="I3" s="80">
        <v>18</v>
      </c>
      <c r="J3" s="80">
        <v>0</v>
      </c>
      <c r="K3" s="80">
        <v>20</v>
      </c>
      <c r="L3" s="80">
        <v>6</v>
      </c>
      <c r="M3" s="80">
        <v>16</v>
      </c>
      <c r="N3" s="80"/>
      <c r="O3" s="80">
        <v>4</v>
      </c>
      <c r="P3" s="80" t="s">
        <v>22</v>
      </c>
      <c r="Q3" s="80">
        <f t="shared" ref="Q3:Q12" si="0">100-(I3/MIN(IF(C3&lt;&gt;"",C3,9999),IF(D3&lt;&gt;"",D3,9999),IF(E3&lt;&gt;"",E3,9999))*H3)</f>
        <v>10</v>
      </c>
    </row>
    <row r="4" spans="1:17" ht="34" x14ac:dyDescent="0.2">
      <c r="A4" s="80" t="s">
        <v>23</v>
      </c>
      <c r="B4" s="83" t="s">
        <v>24</v>
      </c>
      <c r="C4" s="80">
        <v>5</v>
      </c>
      <c r="D4" s="80">
        <v>1</v>
      </c>
      <c r="E4" s="80">
        <v>1</v>
      </c>
      <c r="F4" s="80"/>
      <c r="G4" s="84" t="s">
        <v>18</v>
      </c>
      <c r="H4" s="80">
        <v>5</v>
      </c>
      <c r="I4" s="80">
        <v>17</v>
      </c>
      <c r="J4" s="80">
        <v>0</v>
      </c>
      <c r="K4" s="80">
        <v>20</v>
      </c>
      <c r="L4" s="80">
        <v>4</v>
      </c>
      <c r="M4" s="80">
        <v>14</v>
      </c>
      <c r="N4" s="80"/>
      <c r="O4" s="80">
        <v>7</v>
      </c>
      <c r="P4" s="80" t="s">
        <v>25</v>
      </c>
      <c r="Q4" s="80">
        <f t="shared" si="0"/>
        <v>15</v>
      </c>
    </row>
    <row r="5" spans="1:17" ht="34" x14ac:dyDescent="0.2">
      <c r="A5" s="80" t="s">
        <v>26</v>
      </c>
      <c r="B5" s="83" t="s">
        <v>27</v>
      </c>
      <c r="C5" s="80">
        <v>100</v>
      </c>
      <c r="D5" s="80">
        <v>50</v>
      </c>
      <c r="E5" s="80"/>
      <c r="F5" s="80"/>
      <c r="G5" s="84" t="s">
        <v>18</v>
      </c>
      <c r="H5" s="80">
        <v>5</v>
      </c>
      <c r="I5" s="80">
        <v>900</v>
      </c>
      <c r="J5" s="80">
        <v>300</v>
      </c>
      <c r="K5" s="80">
        <v>1300</v>
      </c>
      <c r="L5" s="80">
        <v>800</v>
      </c>
      <c r="M5" s="80">
        <v>1000</v>
      </c>
      <c r="N5" s="80"/>
      <c r="O5" s="80">
        <v>600</v>
      </c>
      <c r="P5" s="80" t="s">
        <v>28</v>
      </c>
      <c r="Q5" s="80">
        <f t="shared" si="0"/>
        <v>10</v>
      </c>
    </row>
    <row r="6" spans="1:17" ht="34" x14ac:dyDescent="0.2">
      <c r="A6" s="80" t="s">
        <v>29</v>
      </c>
      <c r="B6" s="83" t="s">
        <v>30</v>
      </c>
      <c r="C6" s="80">
        <v>5</v>
      </c>
      <c r="D6" s="80">
        <v>1</v>
      </c>
      <c r="E6" s="80"/>
      <c r="F6" s="80"/>
      <c r="G6" s="84" t="s">
        <v>18</v>
      </c>
      <c r="H6" s="80">
        <v>2</v>
      </c>
      <c r="I6" s="80">
        <v>45</v>
      </c>
      <c r="J6" s="80">
        <v>0</v>
      </c>
      <c r="K6" s="80">
        <v>50</v>
      </c>
      <c r="L6" s="80">
        <v>20</v>
      </c>
      <c r="M6" s="80">
        <v>30</v>
      </c>
      <c r="N6" s="80"/>
      <c r="O6" s="80">
        <v>12</v>
      </c>
      <c r="P6" s="80" t="s">
        <v>31</v>
      </c>
      <c r="Q6" s="80">
        <f t="shared" si="0"/>
        <v>10</v>
      </c>
    </row>
    <row r="7" spans="1:17" ht="17" x14ac:dyDescent="0.2">
      <c r="A7" s="80" t="s">
        <v>32</v>
      </c>
      <c r="B7" s="83" t="s">
        <v>33</v>
      </c>
      <c r="C7" s="80">
        <v>5</v>
      </c>
      <c r="D7" s="80">
        <v>1</v>
      </c>
      <c r="E7" s="80">
        <v>1</v>
      </c>
      <c r="F7" s="80"/>
      <c r="G7" s="84" t="s">
        <v>18</v>
      </c>
      <c r="H7" s="80">
        <v>2</v>
      </c>
      <c r="I7" s="80">
        <v>45</v>
      </c>
      <c r="J7" s="80">
        <v>5</v>
      </c>
      <c r="K7" s="80">
        <v>55</v>
      </c>
      <c r="L7" s="80">
        <v>20</v>
      </c>
      <c r="M7" s="80">
        <v>40</v>
      </c>
      <c r="N7" s="80"/>
      <c r="O7" s="80">
        <v>10</v>
      </c>
      <c r="P7" s="80" t="s">
        <v>34</v>
      </c>
      <c r="Q7" s="80">
        <f t="shared" si="0"/>
        <v>10</v>
      </c>
    </row>
    <row r="8" spans="1:17" ht="17" x14ac:dyDescent="0.2">
      <c r="A8" s="80" t="s">
        <v>35</v>
      </c>
      <c r="B8" s="83" t="s">
        <v>36</v>
      </c>
      <c r="C8" s="80">
        <v>1</v>
      </c>
      <c r="D8" s="80"/>
      <c r="E8" s="80"/>
      <c r="F8" s="80"/>
      <c r="G8" s="84" t="s">
        <v>18</v>
      </c>
      <c r="H8" s="80">
        <v>10</v>
      </c>
      <c r="I8" s="80">
        <v>9</v>
      </c>
      <c r="J8" s="80">
        <v>1</v>
      </c>
      <c r="K8" s="80">
        <v>12</v>
      </c>
      <c r="L8" s="80">
        <v>1</v>
      </c>
      <c r="M8" s="80">
        <v>3</v>
      </c>
      <c r="N8" s="80" t="s">
        <v>37</v>
      </c>
      <c r="O8" s="80">
        <v>6</v>
      </c>
      <c r="P8" s="80" t="s">
        <v>38</v>
      </c>
      <c r="Q8" s="80">
        <f t="shared" si="0"/>
        <v>10</v>
      </c>
    </row>
    <row r="9" spans="1:17" ht="17" x14ac:dyDescent="0.2">
      <c r="A9" s="80" t="s">
        <v>39</v>
      </c>
      <c r="B9" s="83" t="s">
        <v>40</v>
      </c>
      <c r="C9" s="80">
        <v>10</v>
      </c>
      <c r="D9" s="80">
        <v>5</v>
      </c>
      <c r="E9" s="80">
        <v>1</v>
      </c>
      <c r="F9" s="80"/>
      <c r="G9" s="84" t="s">
        <v>18</v>
      </c>
      <c r="H9" s="80">
        <v>1</v>
      </c>
      <c r="I9" s="80">
        <v>95</v>
      </c>
      <c r="J9" s="80">
        <v>20</v>
      </c>
      <c r="K9" s="80">
        <v>120</v>
      </c>
      <c r="L9" s="80">
        <v>20</v>
      </c>
      <c r="M9" s="80">
        <v>40</v>
      </c>
      <c r="N9" s="80"/>
      <c r="O9" s="80">
        <v>73</v>
      </c>
      <c r="P9" s="80" t="s">
        <v>41</v>
      </c>
      <c r="Q9" s="80">
        <f t="shared" si="0"/>
        <v>5</v>
      </c>
    </row>
    <row r="10" spans="1:17" ht="17" x14ac:dyDescent="0.2">
      <c r="A10" s="80" t="s">
        <v>42</v>
      </c>
      <c r="B10" s="83" t="s">
        <v>222</v>
      </c>
      <c r="C10" s="80">
        <v>10</v>
      </c>
      <c r="D10" s="80">
        <v>5</v>
      </c>
      <c r="E10" s="80"/>
      <c r="F10" s="80"/>
      <c r="G10" s="84" t="s">
        <v>18</v>
      </c>
      <c r="H10" s="80">
        <v>5</v>
      </c>
      <c r="I10" s="80">
        <v>95</v>
      </c>
      <c r="J10" s="80">
        <v>1880</v>
      </c>
      <c r="K10" s="80">
        <v>1980</v>
      </c>
      <c r="L10" s="80">
        <v>1900</v>
      </c>
      <c r="M10" s="80">
        <v>1950</v>
      </c>
      <c r="N10" s="80"/>
      <c r="O10" s="80">
        <v>1955</v>
      </c>
      <c r="P10" s="80" t="s">
        <v>43</v>
      </c>
      <c r="Q10" s="80">
        <f t="shared" si="0"/>
        <v>5</v>
      </c>
    </row>
    <row r="11" spans="1:17" ht="34" x14ac:dyDescent="0.2">
      <c r="A11" s="80" t="s">
        <v>44</v>
      </c>
      <c r="B11" s="83" t="s">
        <v>45</v>
      </c>
      <c r="C11" s="80">
        <v>15</v>
      </c>
      <c r="D11" s="80"/>
      <c r="E11" s="80"/>
      <c r="F11" s="80"/>
      <c r="G11" s="84" t="s">
        <v>18</v>
      </c>
      <c r="H11" s="80">
        <v>9</v>
      </c>
      <c r="I11" s="80">
        <v>165</v>
      </c>
      <c r="J11" s="80">
        <v>15</v>
      </c>
      <c r="K11" s="80">
        <v>195</v>
      </c>
      <c r="L11" s="80">
        <v>10</v>
      </c>
      <c r="M11" s="80">
        <v>50</v>
      </c>
      <c r="N11" s="80" t="s">
        <v>46</v>
      </c>
      <c r="O11" s="80">
        <v>165</v>
      </c>
      <c r="P11" s="80" t="s">
        <v>47</v>
      </c>
      <c r="Q11" s="80">
        <f t="shared" si="0"/>
        <v>1</v>
      </c>
    </row>
    <row r="12" spans="1:17" ht="34" x14ac:dyDescent="0.2">
      <c r="A12" s="80" t="s">
        <v>48</v>
      </c>
      <c r="B12" s="83" t="s">
        <v>49</v>
      </c>
      <c r="C12" s="80">
        <v>10</v>
      </c>
      <c r="D12" s="80">
        <v>5</v>
      </c>
      <c r="E12" s="80">
        <v>1</v>
      </c>
      <c r="F12" s="80"/>
      <c r="G12" s="84" t="s">
        <v>18</v>
      </c>
      <c r="H12" s="80">
        <v>1</v>
      </c>
      <c r="I12" s="80">
        <v>95</v>
      </c>
      <c r="J12" s="80">
        <v>40</v>
      </c>
      <c r="K12" s="80">
        <v>140</v>
      </c>
      <c r="L12" s="80">
        <v>50</v>
      </c>
      <c r="M12" s="80">
        <v>110</v>
      </c>
      <c r="N12" s="80" t="s">
        <v>50</v>
      </c>
      <c r="O12" s="80">
        <v>89.99</v>
      </c>
      <c r="P12" s="80" t="s">
        <v>51</v>
      </c>
      <c r="Q12" s="80">
        <f t="shared" si="0"/>
        <v>5</v>
      </c>
    </row>
    <row r="13" spans="1:17" x14ac:dyDescent="0.2">
      <c r="A13" s="80"/>
      <c r="B13" s="83"/>
      <c r="C13" s="80"/>
      <c r="D13" s="80"/>
      <c r="E13" s="80"/>
      <c r="F13" s="80"/>
      <c r="G13" s="84"/>
      <c r="H13" s="80"/>
      <c r="I13" s="80"/>
      <c r="J13" s="80"/>
      <c r="K13" s="80"/>
      <c r="L13" s="80"/>
      <c r="M13" s="80"/>
      <c r="N13" s="80"/>
      <c r="O13" s="80"/>
      <c r="P13" s="80"/>
      <c r="Q13" s="80"/>
    </row>
    <row r="14" spans="1:17" x14ac:dyDescent="0.2">
      <c r="A14" s="80"/>
      <c r="B14" s="83"/>
      <c r="C14" s="80"/>
      <c r="D14" s="80"/>
      <c r="E14" s="80"/>
      <c r="F14" s="80"/>
      <c r="G14" s="84"/>
      <c r="H14" s="80"/>
      <c r="I14" s="80"/>
      <c r="J14" s="80"/>
      <c r="K14" s="80"/>
      <c r="L14" s="80"/>
      <c r="M14" s="80"/>
      <c r="N14" s="80"/>
      <c r="O14" s="80"/>
      <c r="P14" s="80"/>
      <c r="Q14" s="80"/>
    </row>
    <row r="15" spans="1:17" x14ac:dyDescent="0.2">
      <c r="A15" s="80"/>
      <c r="B15" s="83"/>
      <c r="C15" s="80"/>
      <c r="D15" s="80"/>
      <c r="E15" s="80"/>
      <c r="F15" s="80"/>
      <c r="G15" s="84"/>
      <c r="H15" s="80"/>
      <c r="I15" s="80"/>
      <c r="J15" s="80"/>
      <c r="K15" s="80"/>
      <c r="L15" s="80"/>
      <c r="M15" s="80"/>
      <c r="N15" s="80"/>
      <c r="O15" s="80"/>
      <c r="P15" s="80"/>
      <c r="Q15" s="80"/>
    </row>
    <row r="16" spans="1:17" x14ac:dyDescent="0.2">
      <c r="A16" s="80"/>
      <c r="B16" s="83"/>
      <c r="C16" s="80"/>
      <c r="D16" s="80"/>
      <c r="E16" s="80"/>
      <c r="F16" s="80"/>
      <c r="G16" s="84"/>
      <c r="H16" s="80"/>
      <c r="I16" s="80"/>
      <c r="J16" s="80"/>
      <c r="K16" s="80"/>
      <c r="L16" s="80"/>
      <c r="M16" s="80"/>
      <c r="N16" s="80"/>
      <c r="O16" s="80"/>
      <c r="P16" s="80"/>
      <c r="Q16" s="80"/>
    </row>
    <row r="17" spans="1:17" x14ac:dyDescent="0.2">
      <c r="A17" s="80"/>
      <c r="B17" s="83"/>
      <c r="C17" s="80"/>
      <c r="D17" s="80"/>
      <c r="E17" s="80"/>
      <c r="F17" s="80"/>
      <c r="G17" s="84"/>
      <c r="H17" s="80"/>
      <c r="I17" s="80"/>
      <c r="J17" s="80"/>
      <c r="K17" s="80"/>
      <c r="L17" s="80"/>
      <c r="M17" s="80"/>
      <c r="N17" s="80"/>
      <c r="O17" s="80"/>
      <c r="P17" s="80"/>
      <c r="Q17" s="80"/>
    </row>
    <row r="18" spans="1:17" x14ac:dyDescent="0.2">
      <c r="A18" s="80"/>
      <c r="B18" s="83"/>
      <c r="C18" s="80"/>
      <c r="D18" s="80"/>
      <c r="E18" s="80"/>
      <c r="F18" s="80"/>
      <c r="G18" s="84"/>
      <c r="H18" s="80"/>
      <c r="I18" s="80"/>
      <c r="J18" s="80"/>
      <c r="K18" s="80"/>
      <c r="L18" s="80"/>
      <c r="M18" s="80"/>
      <c r="N18" s="80"/>
      <c r="O18" s="80"/>
      <c r="P18" s="80"/>
      <c r="Q1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E023-4B0F-5D41-A3D5-4A6D015B3367}">
  <dimension ref="A1:M8"/>
  <sheetViews>
    <sheetView workbookViewId="0">
      <selection activeCell="H19" sqref="H19"/>
    </sheetView>
  </sheetViews>
  <sheetFormatPr baseColWidth="10" defaultRowHeight="16" x14ac:dyDescent="0.2"/>
  <cols>
    <col min="2" max="2" width="33.83203125" customWidth="1"/>
    <col min="11" max="11" width="29.5" style="1" customWidth="1"/>
    <col min="12" max="12" width="10.83203125" style="1"/>
  </cols>
  <sheetData>
    <row r="1" spans="1:13" ht="17" x14ac:dyDescent="0.2">
      <c r="A1" t="s">
        <v>0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7</v>
      </c>
      <c r="J1" t="s">
        <v>16</v>
      </c>
      <c r="K1" s="1" t="s">
        <v>58</v>
      </c>
      <c r="L1" s="1" t="s">
        <v>59</v>
      </c>
      <c r="M1" t="s">
        <v>15</v>
      </c>
    </row>
    <row r="2" spans="1:13" x14ac:dyDescent="0.2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>
        <v>9</v>
      </c>
      <c r="I2">
        <v>10</v>
      </c>
      <c r="J2">
        <v>10</v>
      </c>
    </row>
    <row r="3" spans="1:13" x14ac:dyDescent="0.2">
      <c r="A3" t="s">
        <v>67</v>
      </c>
      <c r="B3" t="s">
        <v>68</v>
      </c>
      <c r="C3" t="s">
        <v>62</v>
      </c>
      <c r="D3" t="s">
        <v>63</v>
      </c>
      <c r="E3" t="s">
        <v>64</v>
      </c>
      <c r="F3" t="s">
        <v>69</v>
      </c>
      <c r="G3" t="s">
        <v>70</v>
      </c>
      <c r="H3">
        <v>9</v>
      </c>
      <c r="I3">
        <v>10</v>
      </c>
      <c r="J3">
        <v>10</v>
      </c>
    </row>
    <row r="4" spans="1:13" x14ac:dyDescent="0.2">
      <c r="A4" t="s">
        <v>71</v>
      </c>
      <c r="B4" t="s">
        <v>72</v>
      </c>
      <c r="C4" t="s">
        <v>73</v>
      </c>
      <c r="D4" t="s">
        <v>74</v>
      </c>
      <c r="E4" t="s">
        <v>64</v>
      </c>
      <c r="F4" t="s">
        <v>75</v>
      </c>
      <c r="G4" t="s">
        <v>76</v>
      </c>
      <c r="H4">
        <v>9</v>
      </c>
      <c r="I4">
        <v>10</v>
      </c>
      <c r="J4">
        <v>10</v>
      </c>
    </row>
    <row r="5" spans="1:13" x14ac:dyDescent="0.2">
      <c r="A5" t="s">
        <v>77</v>
      </c>
      <c r="B5" t="s">
        <v>78</v>
      </c>
      <c r="C5" t="s">
        <v>73</v>
      </c>
      <c r="D5" t="s">
        <v>74</v>
      </c>
      <c r="E5" t="s">
        <v>64</v>
      </c>
      <c r="F5" t="s">
        <v>79</v>
      </c>
      <c r="G5" t="s">
        <v>80</v>
      </c>
      <c r="H5">
        <v>9</v>
      </c>
      <c r="I5">
        <v>10</v>
      </c>
      <c r="J5">
        <v>10</v>
      </c>
    </row>
    <row r="6" spans="1:13" x14ac:dyDescent="0.2">
      <c r="A6" t="s">
        <v>81</v>
      </c>
      <c r="B6" t="s">
        <v>82</v>
      </c>
      <c r="C6" t="s">
        <v>83</v>
      </c>
      <c r="D6" t="s">
        <v>84</v>
      </c>
      <c r="E6" t="s">
        <v>64</v>
      </c>
      <c r="F6" t="s">
        <v>85</v>
      </c>
      <c r="G6" t="s">
        <v>86</v>
      </c>
      <c r="H6">
        <v>4</v>
      </c>
      <c r="I6">
        <v>25</v>
      </c>
      <c r="J6">
        <v>25</v>
      </c>
    </row>
    <row r="7" spans="1:13" ht="85" x14ac:dyDescent="0.2">
      <c r="A7" t="s">
        <v>87</v>
      </c>
      <c r="B7" t="s">
        <v>88</v>
      </c>
      <c r="C7" t="s">
        <v>89</v>
      </c>
      <c r="E7" t="s">
        <v>90</v>
      </c>
      <c r="G7" t="s">
        <v>91</v>
      </c>
      <c r="H7">
        <v>9</v>
      </c>
      <c r="I7">
        <v>10</v>
      </c>
      <c r="J7">
        <v>10</v>
      </c>
      <c r="K7" s="1" t="s">
        <v>92</v>
      </c>
      <c r="L7" s="1" t="s">
        <v>93</v>
      </c>
      <c r="M7" t="s">
        <v>260</v>
      </c>
    </row>
    <row r="8" spans="1:13" ht="85" x14ac:dyDescent="0.2">
      <c r="A8" t="s">
        <v>258</v>
      </c>
      <c r="B8" t="s">
        <v>256</v>
      </c>
      <c r="C8" t="s">
        <v>89</v>
      </c>
      <c r="E8" t="s">
        <v>90</v>
      </c>
      <c r="G8" t="s">
        <v>91</v>
      </c>
      <c r="H8">
        <v>9</v>
      </c>
      <c r="I8">
        <v>10</v>
      </c>
      <c r="J8">
        <v>10</v>
      </c>
      <c r="K8" s="1" t="s">
        <v>259</v>
      </c>
      <c r="L8" s="1" t="s">
        <v>257</v>
      </c>
      <c r="M8" t="s">
        <v>261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971B-16B6-2747-9012-3CB77F8500DE}">
  <dimension ref="A1:AJ21"/>
  <sheetViews>
    <sheetView zoomScale="125" workbookViewId="0">
      <pane xSplit="2" topLeftCell="C1" activePane="topRight" state="frozen"/>
      <selection pane="topRight" activeCell="AA4" sqref="AA4"/>
    </sheetView>
  </sheetViews>
  <sheetFormatPr baseColWidth="10" defaultRowHeight="16" x14ac:dyDescent="0.2"/>
  <cols>
    <col min="1" max="1" width="14.33203125" customWidth="1"/>
    <col min="2" max="2" width="39.1640625" style="1" customWidth="1"/>
    <col min="4" max="4" width="6.5" style="2" customWidth="1"/>
    <col min="5" max="5" width="20" style="4" customWidth="1"/>
    <col min="6" max="6" width="7.5" style="5" customWidth="1"/>
    <col min="7" max="7" width="19.1640625" style="6" customWidth="1"/>
    <col min="8" max="8" width="6.6640625" style="5" customWidth="1"/>
    <col min="9" max="9" width="18.6640625" style="6" customWidth="1"/>
    <col min="10" max="10" width="7.1640625" style="5" customWidth="1"/>
    <col min="11" max="11" width="16" style="6" customWidth="1"/>
    <col min="12" max="12" width="7.83203125" style="5" customWidth="1"/>
    <col min="13" max="13" width="15.1640625" style="6" customWidth="1"/>
    <col min="14" max="14" width="8" style="5" customWidth="1"/>
    <col min="15" max="15" width="15.5" style="6" customWidth="1"/>
    <col min="16" max="16" width="7.1640625" style="5" customWidth="1"/>
    <col min="17" max="17" width="17.1640625" style="6" customWidth="1"/>
    <col min="18" max="18" width="7" style="5" customWidth="1"/>
    <col min="19" max="19" width="19" style="6" customWidth="1"/>
    <col min="20" max="20" width="7.1640625" style="65" customWidth="1"/>
    <col min="21" max="21" width="21.33203125" style="9" customWidth="1"/>
    <col min="22" max="22" width="10.83203125" style="10"/>
    <col min="23" max="23" width="18.83203125" style="7" customWidth="1"/>
    <col min="24" max="24" width="10.83203125" style="8"/>
    <col min="25" max="25" width="23.33203125" style="7" customWidth="1"/>
    <col min="26" max="26" width="10.83203125" style="11"/>
    <col min="27" max="27" width="15.5" style="9" customWidth="1"/>
    <col min="28" max="28" width="10.83203125" style="10"/>
    <col min="29" max="29" width="15.6640625" style="12" customWidth="1"/>
    <col min="30" max="30" width="10.83203125" style="13"/>
    <col min="31" max="31" width="15.83203125" style="12" customWidth="1"/>
    <col min="32" max="32" width="9" style="3" customWidth="1"/>
    <col min="33" max="33" width="7.83203125" customWidth="1"/>
    <col min="34" max="34" width="13.83203125" customWidth="1"/>
    <col min="35" max="35" width="32.33203125" style="1" customWidth="1"/>
    <col min="36" max="36" width="28.1640625" customWidth="1"/>
  </cols>
  <sheetData>
    <row r="1" spans="1:36" s="66" customFormat="1" ht="45" x14ac:dyDescent="0.2">
      <c r="A1" s="66" t="s">
        <v>0</v>
      </c>
      <c r="B1" s="66" t="s">
        <v>1</v>
      </c>
      <c r="C1" s="66" t="s">
        <v>94</v>
      </c>
      <c r="D1" s="67" t="s">
        <v>95</v>
      </c>
      <c r="E1" s="68" t="s">
        <v>96</v>
      </c>
      <c r="F1" s="69" t="s">
        <v>97</v>
      </c>
      <c r="G1" s="70" t="s">
        <v>98</v>
      </c>
      <c r="H1" s="69" t="s">
        <v>99</v>
      </c>
      <c r="I1" s="70" t="s">
        <v>100</v>
      </c>
      <c r="J1" s="69" t="s">
        <v>101</v>
      </c>
      <c r="K1" s="70" t="s">
        <v>102</v>
      </c>
      <c r="L1" s="71" t="s">
        <v>103</v>
      </c>
      <c r="M1" s="70" t="s">
        <v>104</v>
      </c>
      <c r="N1" s="71" t="s">
        <v>105</v>
      </c>
      <c r="O1" s="70" t="s">
        <v>106</v>
      </c>
      <c r="P1" s="71" t="s">
        <v>107</v>
      </c>
      <c r="Q1" s="70" t="s">
        <v>108</v>
      </c>
      <c r="R1" s="71" t="s">
        <v>109</v>
      </c>
      <c r="S1" s="70" t="s">
        <v>110</v>
      </c>
      <c r="T1" s="81" t="s">
        <v>111</v>
      </c>
      <c r="U1" s="72" t="s">
        <v>112</v>
      </c>
      <c r="V1" s="73" t="s">
        <v>113</v>
      </c>
      <c r="W1" s="74" t="s">
        <v>114</v>
      </c>
      <c r="X1" s="75" t="s">
        <v>115</v>
      </c>
      <c r="Y1" s="74" t="s">
        <v>116</v>
      </c>
      <c r="Z1" s="76" t="s">
        <v>117</v>
      </c>
      <c r="AA1" s="72" t="s">
        <v>118</v>
      </c>
      <c r="AB1" s="73" t="s">
        <v>119</v>
      </c>
      <c r="AC1" s="77" t="s">
        <v>120</v>
      </c>
      <c r="AD1" s="78" t="s">
        <v>121</v>
      </c>
      <c r="AE1" s="77" t="s">
        <v>122</v>
      </c>
      <c r="AF1" s="79" t="s">
        <v>123</v>
      </c>
      <c r="AG1" s="66" t="s">
        <v>124</v>
      </c>
      <c r="AH1" s="66" t="s">
        <v>125</v>
      </c>
      <c r="AI1" s="66" t="s">
        <v>15</v>
      </c>
      <c r="AJ1" s="66" t="s">
        <v>126</v>
      </c>
    </row>
    <row r="2" spans="1:36" s="45" customFormat="1" ht="34" x14ac:dyDescent="0.2">
      <c r="A2" s="61" t="s">
        <v>127</v>
      </c>
      <c r="B2" s="30" t="s">
        <v>128</v>
      </c>
      <c r="C2" s="31" t="s">
        <v>129</v>
      </c>
      <c r="D2" s="32">
        <v>20</v>
      </c>
      <c r="E2" s="33" t="s">
        <v>130</v>
      </c>
      <c r="F2" s="34" t="b">
        <v>1</v>
      </c>
      <c r="G2" s="35" t="s">
        <v>131</v>
      </c>
      <c r="H2" s="34" t="b">
        <v>1</v>
      </c>
      <c r="I2" s="35" t="s">
        <v>132</v>
      </c>
      <c r="J2" s="34" t="b">
        <v>1</v>
      </c>
      <c r="K2" s="35" t="s">
        <v>133</v>
      </c>
      <c r="L2" s="34" t="b">
        <v>1</v>
      </c>
      <c r="M2" s="35" t="s">
        <v>134</v>
      </c>
      <c r="N2" s="34" t="b">
        <v>1</v>
      </c>
      <c r="O2" s="35" t="s">
        <v>135</v>
      </c>
      <c r="P2" s="34" t="b">
        <v>1</v>
      </c>
      <c r="Q2" s="35" t="s">
        <v>136</v>
      </c>
      <c r="R2" s="34" t="b">
        <v>1</v>
      </c>
      <c r="S2" s="33" t="s">
        <v>237</v>
      </c>
      <c r="T2" s="34" t="b">
        <v>1</v>
      </c>
      <c r="U2" s="36" t="s">
        <v>137</v>
      </c>
      <c r="V2" s="39" t="b">
        <v>0</v>
      </c>
      <c r="W2" s="36" t="s">
        <v>138</v>
      </c>
      <c r="X2" s="37" t="b">
        <v>0</v>
      </c>
      <c r="Y2" s="36" t="s">
        <v>139</v>
      </c>
      <c r="Z2" s="40" t="b">
        <v>0</v>
      </c>
      <c r="AA2" s="38" t="s">
        <v>140</v>
      </c>
      <c r="AB2" s="39" t="b">
        <v>0</v>
      </c>
      <c r="AC2" s="41" t="s">
        <v>141</v>
      </c>
      <c r="AD2" s="42" t="b">
        <v>0</v>
      </c>
      <c r="AE2" s="63" t="s">
        <v>235</v>
      </c>
      <c r="AF2" s="43" t="b">
        <v>0</v>
      </c>
      <c r="AG2" s="44" t="b">
        <v>1</v>
      </c>
      <c r="AH2" s="44" t="b">
        <v>1</v>
      </c>
      <c r="AI2" s="30" t="s">
        <v>142</v>
      </c>
      <c r="AJ2" s="44" t="s">
        <v>143</v>
      </c>
    </row>
    <row r="3" spans="1:36" s="45" customFormat="1" ht="27" x14ac:dyDescent="0.2">
      <c r="A3" s="61" t="s">
        <v>144</v>
      </c>
      <c r="B3" s="30" t="s">
        <v>145</v>
      </c>
      <c r="C3" s="31" t="s">
        <v>129</v>
      </c>
      <c r="D3" s="32">
        <v>20</v>
      </c>
      <c r="E3" s="33" t="s">
        <v>254</v>
      </c>
      <c r="F3" s="34" t="b">
        <v>1</v>
      </c>
      <c r="G3" s="35" t="s">
        <v>146</v>
      </c>
      <c r="H3" s="34" t="b">
        <v>1</v>
      </c>
      <c r="I3" s="35" t="s">
        <v>147</v>
      </c>
      <c r="J3" s="34" t="b">
        <v>1</v>
      </c>
      <c r="K3" s="35" t="s">
        <v>148</v>
      </c>
      <c r="L3" s="34" t="b">
        <v>1</v>
      </c>
      <c r="M3" s="35" t="s">
        <v>149</v>
      </c>
      <c r="N3" s="34" t="b">
        <v>1</v>
      </c>
      <c r="O3" s="35" t="s">
        <v>150</v>
      </c>
      <c r="P3" s="34" t="b">
        <v>1</v>
      </c>
      <c r="Q3" s="35" t="s">
        <v>255</v>
      </c>
      <c r="R3" s="34" t="b">
        <v>1</v>
      </c>
      <c r="S3" s="35" t="s">
        <v>236</v>
      </c>
      <c r="T3" s="34" t="b">
        <v>1</v>
      </c>
      <c r="U3" s="38" t="s">
        <v>151</v>
      </c>
      <c r="V3" s="39" t="b">
        <v>0</v>
      </c>
      <c r="W3" s="36" t="s">
        <v>252</v>
      </c>
      <c r="X3" s="37" t="b">
        <v>0</v>
      </c>
      <c r="Y3" s="36" t="s">
        <v>253</v>
      </c>
      <c r="Z3" s="40" t="b">
        <v>0</v>
      </c>
      <c r="AA3" s="38" t="s">
        <v>152</v>
      </c>
      <c r="AB3" s="39" t="b">
        <v>0</v>
      </c>
      <c r="AC3" s="41" t="s">
        <v>153</v>
      </c>
      <c r="AD3" s="42" t="b">
        <v>0</v>
      </c>
      <c r="AE3" s="41" t="s">
        <v>154</v>
      </c>
      <c r="AF3" s="43" t="b">
        <v>0</v>
      </c>
      <c r="AG3" s="44" t="b">
        <v>1</v>
      </c>
      <c r="AH3" s="44" t="b">
        <v>1</v>
      </c>
      <c r="AI3" s="30" t="s">
        <v>155</v>
      </c>
      <c r="AJ3" s="44" t="s">
        <v>156</v>
      </c>
    </row>
    <row r="4" spans="1:36" s="45" customFormat="1" ht="34" x14ac:dyDescent="0.2">
      <c r="A4" s="61" t="s">
        <v>157</v>
      </c>
      <c r="B4" s="46" t="s">
        <v>221</v>
      </c>
      <c r="C4" s="31" t="s">
        <v>129</v>
      </c>
      <c r="D4" s="32">
        <v>20</v>
      </c>
      <c r="E4" s="33" t="s">
        <v>158</v>
      </c>
      <c r="F4" s="34" t="b">
        <v>1</v>
      </c>
      <c r="G4" s="35" t="s">
        <v>159</v>
      </c>
      <c r="H4" s="34" t="b">
        <v>1</v>
      </c>
      <c r="I4" s="35" t="s">
        <v>160</v>
      </c>
      <c r="J4" s="34" t="b">
        <v>1</v>
      </c>
      <c r="K4" s="35" t="s">
        <v>161</v>
      </c>
      <c r="L4" s="34" t="b">
        <v>1</v>
      </c>
      <c r="M4" s="35" t="s">
        <v>162</v>
      </c>
      <c r="N4" s="34" t="b">
        <v>1</v>
      </c>
      <c r="O4" s="35" t="s">
        <v>163</v>
      </c>
      <c r="P4" s="34" t="b">
        <v>1</v>
      </c>
      <c r="Q4" s="35" t="s">
        <v>164</v>
      </c>
      <c r="R4" s="34" t="b">
        <v>1</v>
      </c>
      <c r="S4" s="35" t="s">
        <v>238</v>
      </c>
      <c r="T4" s="34" t="b">
        <v>1</v>
      </c>
      <c r="U4" s="38" t="s">
        <v>165</v>
      </c>
      <c r="V4" s="39" t="b">
        <v>0</v>
      </c>
      <c r="W4" s="36" t="s">
        <v>166</v>
      </c>
      <c r="X4" s="37" t="b">
        <v>0</v>
      </c>
      <c r="Y4" s="36" t="s">
        <v>167</v>
      </c>
      <c r="Z4" s="40" t="b">
        <v>0</v>
      </c>
      <c r="AA4" s="38" t="s">
        <v>168</v>
      </c>
      <c r="AB4" s="39" t="b">
        <v>0</v>
      </c>
      <c r="AC4" s="41" t="s">
        <v>249</v>
      </c>
      <c r="AD4" s="42" t="b">
        <v>0</v>
      </c>
      <c r="AE4" s="41" t="s">
        <v>239</v>
      </c>
      <c r="AF4" s="43" t="b">
        <v>0</v>
      </c>
      <c r="AG4" s="44" t="b">
        <v>1</v>
      </c>
      <c r="AH4" s="44" t="b">
        <v>1</v>
      </c>
      <c r="AI4" s="30" t="s">
        <v>169</v>
      </c>
      <c r="AJ4" s="44" t="s">
        <v>170</v>
      </c>
    </row>
    <row r="5" spans="1:36" s="45" customFormat="1" ht="34" x14ac:dyDescent="0.2">
      <c r="A5" s="61" t="s">
        <v>171</v>
      </c>
      <c r="B5" s="30" t="s">
        <v>234</v>
      </c>
      <c r="C5" s="31" t="s">
        <v>129</v>
      </c>
      <c r="D5" s="32">
        <v>20</v>
      </c>
      <c r="E5" s="33" t="s">
        <v>172</v>
      </c>
      <c r="F5" s="34" t="b">
        <v>1</v>
      </c>
      <c r="G5" s="35" t="s">
        <v>173</v>
      </c>
      <c r="H5" s="34" t="b">
        <v>1</v>
      </c>
      <c r="I5" s="35" t="s">
        <v>174</v>
      </c>
      <c r="J5" s="34" t="b">
        <v>1</v>
      </c>
      <c r="K5" s="35" t="s">
        <v>175</v>
      </c>
      <c r="L5" s="34" t="b">
        <v>1</v>
      </c>
      <c r="M5" s="35" t="s">
        <v>176</v>
      </c>
      <c r="N5" s="34" t="b">
        <v>1</v>
      </c>
      <c r="O5" s="35" t="s">
        <v>177</v>
      </c>
      <c r="P5" s="34" t="b">
        <v>1</v>
      </c>
      <c r="Q5" s="35" t="s">
        <v>178</v>
      </c>
      <c r="R5" s="34" t="b">
        <v>1</v>
      </c>
      <c r="S5" s="35" t="s">
        <v>240</v>
      </c>
      <c r="T5" s="34" t="b">
        <v>1</v>
      </c>
      <c r="U5" s="38" t="s">
        <v>179</v>
      </c>
      <c r="V5" s="39" t="b">
        <v>0</v>
      </c>
      <c r="W5" s="36" t="s">
        <v>180</v>
      </c>
      <c r="X5" s="37" t="b">
        <v>0</v>
      </c>
      <c r="Y5" s="36" t="s">
        <v>241</v>
      </c>
      <c r="Z5" s="40" t="b">
        <v>0</v>
      </c>
      <c r="AA5" s="38" t="s">
        <v>181</v>
      </c>
      <c r="AB5" s="39" t="b">
        <v>0</v>
      </c>
      <c r="AC5" s="41" t="s">
        <v>242</v>
      </c>
      <c r="AD5" s="42" t="b">
        <v>0</v>
      </c>
      <c r="AE5" s="41" t="s">
        <v>182</v>
      </c>
      <c r="AF5" s="43" t="b">
        <v>0</v>
      </c>
      <c r="AG5" s="44" t="b">
        <v>1</v>
      </c>
      <c r="AH5" s="44" t="b">
        <v>1</v>
      </c>
      <c r="AI5" s="30" t="s">
        <v>183</v>
      </c>
      <c r="AJ5" s="44" t="s">
        <v>184</v>
      </c>
    </row>
    <row r="6" spans="1:36" s="45" customFormat="1" ht="34" x14ac:dyDescent="0.2">
      <c r="A6" s="61" t="s">
        <v>185</v>
      </c>
      <c r="B6" s="30" t="s">
        <v>186</v>
      </c>
      <c r="C6" s="31" t="s">
        <v>129</v>
      </c>
      <c r="D6" s="32">
        <v>20</v>
      </c>
      <c r="E6" s="33" t="s">
        <v>187</v>
      </c>
      <c r="F6" s="34" t="b">
        <v>1</v>
      </c>
      <c r="G6" s="35" t="s">
        <v>188</v>
      </c>
      <c r="H6" s="34" t="b">
        <v>1</v>
      </c>
      <c r="I6" s="35" t="s">
        <v>189</v>
      </c>
      <c r="J6" s="34" t="b">
        <v>1</v>
      </c>
      <c r="K6" s="35" t="s">
        <v>190</v>
      </c>
      <c r="L6" s="34" t="b">
        <v>1</v>
      </c>
      <c r="M6" s="35" t="s">
        <v>223</v>
      </c>
      <c r="N6" s="34" t="b">
        <v>1</v>
      </c>
      <c r="O6" s="35" t="s">
        <v>191</v>
      </c>
      <c r="P6" s="34" t="b">
        <v>1</v>
      </c>
      <c r="Q6" s="35" t="s">
        <v>192</v>
      </c>
      <c r="R6" s="34" t="b">
        <v>1</v>
      </c>
      <c r="S6" s="35" t="s">
        <v>243</v>
      </c>
      <c r="T6" s="34" t="b">
        <v>1</v>
      </c>
      <c r="U6" s="38" t="s">
        <v>194</v>
      </c>
      <c r="V6" s="39" t="b">
        <v>0</v>
      </c>
      <c r="W6" s="36" t="s">
        <v>195</v>
      </c>
      <c r="X6" s="37" t="b">
        <v>0</v>
      </c>
      <c r="Y6" s="36" t="s">
        <v>196</v>
      </c>
      <c r="Z6" s="40" t="b">
        <v>0</v>
      </c>
      <c r="AA6" s="38" t="s">
        <v>193</v>
      </c>
      <c r="AB6" s="39" t="b">
        <v>0</v>
      </c>
      <c r="AC6" s="41" t="s">
        <v>251</v>
      </c>
      <c r="AD6" s="42" t="b">
        <v>0</v>
      </c>
      <c r="AE6" s="41" t="s">
        <v>250</v>
      </c>
      <c r="AF6" s="43" t="b">
        <v>0</v>
      </c>
      <c r="AG6" s="44" t="b">
        <v>1</v>
      </c>
      <c r="AH6" s="44" t="b">
        <v>1</v>
      </c>
      <c r="AI6" s="30" t="s">
        <v>197</v>
      </c>
      <c r="AJ6" s="44" t="s">
        <v>198</v>
      </c>
    </row>
    <row r="7" spans="1:36" s="45" customFormat="1" ht="34" x14ac:dyDescent="0.2">
      <c r="A7" s="61" t="s">
        <v>199</v>
      </c>
      <c r="B7" s="30" t="s">
        <v>200</v>
      </c>
      <c r="C7" s="31" t="s">
        <v>129</v>
      </c>
      <c r="D7" s="32">
        <v>20</v>
      </c>
      <c r="E7" s="33" t="s">
        <v>224</v>
      </c>
      <c r="F7" s="34" t="b">
        <v>1</v>
      </c>
      <c r="G7" s="35" t="s">
        <v>225</v>
      </c>
      <c r="H7" s="34" t="b">
        <v>1</v>
      </c>
      <c r="I7" s="35" t="s">
        <v>201</v>
      </c>
      <c r="J7" s="34" t="b">
        <v>1</v>
      </c>
      <c r="K7" s="35" t="s">
        <v>202</v>
      </c>
      <c r="L7" s="34" t="b">
        <v>1</v>
      </c>
      <c r="M7" s="35" t="s">
        <v>226</v>
      </c>
      <c r="N7" s="34" t="b">
        <v>1</v>
      </c>
      <c r="O7" s="35" t="s">
        <v>227</v>
      </c>
      <c r="P7" s="34" t="b">
        <v>1</v>
      </c>
      <c r="Q7" s="35" t="s">
        <v>228</v>
      </c>
      <c r="R7" s="34" t="b">
        <v>1</v>
      </c>
      <c r="S7" s="33" t="s">
        <v>244</v>
      </c>
      <c r="T7" s="34" t="b">
        <v>1</v>
      </c>
      <c r="U7" s="38" t="s">
        <v>229</v>
      </c>
      <c r="V7" s="39" t="b">
        <v>0</v>
      </c>
      <c r="W7" s="36" t="s">
        <v>230</v>
      </c>
      <c r="X7" s="37" t="b">
        <v>0</v>
      </c>
      <c r="Y7" s="36" t="s">
        <v>245</v>
      </c>
      <c r="Z7" s="40" t="b">
        <v>0</v>
      </c>
      <c r="AA7" s="38" t="s">
        <v>231</v>
      </c>
      <c r="AB7" s="39" t="b">
        <v>0</v>
      </c>
      <c r="AC7" s="41" t="s">
        <v>232</v>
      </c>
      <c r="AD7" s="42" t="b">
        <v>0</v>
      </c>
      <c r="AE7" s="41" t="s">
        <v>246</v>
      </c>
      <c r="AF7" s="43" t="b">
        <v>0</v>
      </c>
      <c r="AG7" s="44" t="b">
        <v>1</v>
      </c>
      <c r="AH7" s="44" t="b">
        <v>1</v>
      </c>
      <c r="AI7" s="30" t="s">
        <v>203</v>
      </c>
      <c r="AJ7" s="44" t="s">
        <v>204</v>
      </c>
    </row>
    <row r="8" spans="1:36" s="29" customFormat="1" ht="27" x14ac:dyDescent="0.2">
      <c r="A8" s="62" t="s">
        <v>205</v>
      </c>
      <c r="B8" s="14" t="s">
        <v>206</v>
      </c>
      <c r="C8" s="15" t="s">
        <v>129</v>
      </c>
      <c r="D8" s="16">
        <v>20</v>
      </c>
      <c r="E8" s="17" t="s">
        <v>207</v>
      </c>
      <c r="F8" s="18" t="b">
        <v>1</v>
      </c>
      <c r="G8" s="19" t="s">
        <v>208</v>
      </c>
      <c r="H8" s="18" t="b">
        <v>1</v>
      </c>
      <c r="I8" s="19" t="s">
        <v>209</v>
      </c>
      <c r="J8" s="18" t="b">
        <v>1</v>
      </c>
      <c r="K8" s="19" t="s">
        <v>210</v>
      </c>
      <c r="L8" s="18" t="b">
        <v>1</v>
      </c>
      <c r="M8" s="19" t="s">
        <v>233</v>
      </c>
      <c r="N8" s="18" t="b">
        <v>1</v>
      </c>
      <c r="O8" s="19" t="s">
        <v>211</v>
      </c>
      <c r="P8" s="18" t="b">
        <v>1</v>
      </c>
      <c r="Q8" s="19" t="s">
        <v>212</v>
      </c>
      <c r="R8" s="18" t="b">
        <v>1</v>
      </c>
      <c r="S8" s="33" t="s">
        <v>248</v>
      </c>
      <c r="T8" s="18" t="b">
        <v>1</v>
      </c>
      <c r="U8" s="22" t="s">
        <v>213</v>
      </c>
      <c r="V8" s="23" t="b">
        <v>0</v>
      </c>
      <c r="W8" s="20" t="s">
        <v>214</v>
      </c>
      <c r="X8" s="21" t="b">
        <v>0</v>
      </c>
      <c r="Y8" s="20" t="s">
        <v>215</v>
      </c>
      <c r="Z8" s="24" t="b">
        <v>0</v>
      </c>
      <c r="AA8" s="22" t="s">
        <v>247</v>
      </c>
      <c r="AB8" s="23" t="b">
        <v>0</v>
      </c>
      <c r="AC8" s="25" t="s">
        <v>216</v>
      </c>
      <c r="AD8" s="26" t="b">
        <v>0</v>
      </c>
      <c r="AE8" s="25" t="s">
        <v>217</v>
      </c>
      <c r="AF8" s="27" t="b">
        <v>0</v>
      </c>
      <c r="AG8" s="28" t="b">
        <v>1</v>
      </c>
      <c r="AH8" s="28" t="b">
        <v>1</v>
      </c>
      <c r="AI8" s="14" t="s">
        <v>218</v>
      </c>
      <c r="AJ8" s="28" t="s">
        <v>219</v>
      </c>
    </row>
    <row r="9" spans="1:36" s="45" customFormat="1" x14ac:dyDescent="0.2">
      <c r="A9" s="47"/>
      <c r="B9" s="48"/>
      <c r="D9" s="49"/>
      <c r="E9" s="50"/>
      <c r="F9" s="51"/>
      <c r="G9" s="52"/>
      <c r="H9" s="51"/>
      <c r="I9" s="52"/>
      <c r="J9" s="51"/>
      <c r="K9" s="52"/>
      <c r="L9" s="51"/>
      <c r="M9" s="52"/>
      <c r="N9" s="51"/>
      <c r="O9" s="52"/>
      <c r="P9" s="51"/>
      <c r="Q9" s="52"/>
      <c r="R9" s="51"/>
      <c r="S9" s="52"/>
      <c r="T9" s="64"/>
      <c r="U9" s="55"/>
      <c r="V9" s="56"/>
      <c r="W9" s="53"/>
      <c r="X9" s="54"/>
      <c r="Y9" s="53"/>
      <c r="Z9" s="57"/>
      <c r="AA9" s="55"/>
      <c r="AB9" s="56"/>
      <c r="AC9" s="58"/>
      <c r="AD9" s="59"/>
      <c r="AE9" s="58"/>
      <c r="AF9" s="60"/>
      <c r="AI9" s="48"/>
    </row>
    <row r="10" spans="1:36" s="45" customFormat="1" x14ac:dyDescent="0.2">
      <c r="A10" s="47"/>
      <c r="B10" s="48"/>
      <c r="D10" s="49"/>
      <c r="E10" s="50"/>
      <c r="F10" s="51"/>
      <c r="G10" s="52"/>
      <c r="H10" s="51"/>
      <c r="I10" s="52"/>
      <c r="J10" s="51"/>
      <c r="K10" s="52"/>
      <c r="L10" s="51"/>
      <c r="M10" s="52"/>
      <c r="N10" s="51"/>
      <c r="O10" s="52"/>
      <c r="P10" s="51"/>
      <c r="Q10" s="52"/>
      <c r="R10" s="51"/>
      <c r="S10" s="52"/>
      <c r="T10" s="64"/>
      <c r="U10" s="55"/>
      <c r="V10" s="56"/>
      <c r="W10" s="53"/>
      <c r="X10" s="54"/>
      <c r="Y10" s="53"/>
      <c r="Z10" s="57"/>
      <c r="AA10" s="55"/>
      <c r="AB10" s="56"/>
      <c r="AC10" s="58"/>
      <c r="AD10" s="59"/>
      <c r="AE10" s="58"/>
      <c r="AF10" s="60"/>
      <c r="AI10" s="48"/>
    </row>
    <row r="11" spans="1:36" s="45" customFormat="1" x14ac:dyDescent="0.2">
      <c r="A11" s="47"/>
      <c r="B11" s="48"/>
      <c r="D11" s="49"/>
      <c r="E11" s="50"/>
      <c r="F11" s="51"/>
      <c r="G11" s="52"/>
      <c r="H11" s="51"/>
      <c r="I11" s="52"/>
      <c r="J11" s="51"/>
      <c r="K11" s="52"/>
      <c r="L11" s="51"/>
      <c r="M11" s="52"/>
      <c r="N11" s="51"/>
      <c r="O11" s="52"/>
      <c r="P11" s="51"/>
      <c r="Q11" s="52"/>
      <c r="R11" s="51"/>
      <c r="S11" s="52"/>
      <c r="T11" s="64"/>
      <c r="U11" s="55"/>
      <c r="V11" s="56"/>
      <c r="W11" s="53"/>
      <c r="X11" s="54"/>
      <c r="Y11" s="53"/>
      <c r="Z11" s="57"/>
      <c r="AA11" s="55"/>
      <c r="AB11" s="56"/>
      <c r="AC11" s="58"/>
      <c r="AD11" s="59"/>
      <c r="AE11" s="58"/>
      <c r="AF11" s="60"/>
      <c r="AI11" s="48"/>
    </row>
    <row r="12" spans="1:36" s="45" customFormat="1" x14ac:dyDescent="0.2">
      <c r="A12" s="47"/>
      <c r="B12" s="48"/>
      <c r="D12" s="49"/>
      <c r="E12" s="50"/>
      <c r="F12" s="51"/>
      <c r="G12" s="52"/>
      <c r="H12" s="51"/>
      <c r="I12" s="52"/>
      <c r="J12" s="51"/>
      <c r="K12" s="52"/>
      <c r="L12" s="51"/>
      <c r="M12" s="52"/>
      <c r="N12" s="51"/>
      <c r="O12" s="52"/>
      <c r="P12" s="51"/>
      <c r="Q12" s="52"/>
      <c r="R12" s="51"/>
      <c r="S12" s="52"/>
      <c r="T12" s="64"/>
      <c r="U12" s="55"/>
      <c r="V12" s="56"/>
      <c r="W12" s="53"/>
      <c r="X12" s="54"/>
      <c r="Y12" s="53"/>
      <c r="Z12" s="57"/>
      <c r="AA12" s="55"/>
      <c r="AB12" s="56"/>
      <c r="AC12" s="58"/>
      <c r="AD12" s="59"/>
      <c r="AE12" s="58"/>
      <c r="AF12" s="60"/>
      <c r="AI12" s="48"/>
    </row>
    <row r="13" spans="1:36" s="45" customFormat="1" x14ac:dyDescent="0.2">
      <c r="A13" s="47"/>
      <c r="B13" s="48"/>
      <c r="D13" s="49"/>
      <c r="E13" s="50"/>
      <c r="F13" s="51"/>
      <c r="G13" s="52"/>
      <c r="H13" s="51"/>
      <c r="I13" s="52"/>
      <c r="J13" s="51"/>
      <c r="K13" s="52"/>
      <c r="L13" s="51"/>
      <c r="M13" s="52"/>
      <c r="N13" s="51"/>
      <c r="O13" s="52"/>
      <c r="P13" s="51"/>
      <c r="Q13" s="52"/>
      <c r="R13" s="51"/>
      <c r="S13" s="52"/>
      <c r="T13" s="64"/>
      <c r="U13" s="55"/>
      <c r="V13" s="56"/>
      <c r="W13" s="53"/>
      <c r="X13" s="54"/>
      <c r="Y13" s="53"/>
      <c r="Z13" s="57"/>
      <c r="AA13" s="55"/>
      <c r="AB13" s="56"/>
      <c r="AC13" s="58"/>
      <c r="AD13" s="59"/>
      <c r="AE13" s="58"/>
      <c r="AF13" s="60"/>
      <c r="AI13" s="48"/>
    </row>
    <row r="14" spans="1:36" s="45" customFormat="1" x14ac:dyDescent="0.2">
      <c r="A14" s="47"/>
      <c r="B14" s="48"/>
      <c r="D14" s="49"/>
      <c r="E14" s="50"/>
      <c r="F14" s="51"/>
      <c r="G14" s="52"/>
      <c r="H14" s="51"/>
      <c r="I14" s="52"/>
      <c r="J14" s="51"/>
      <c r="K14" s="52"/>
      <c r="L14" s="51"/>
      <c r="M14" s="52"/>
      <c r="N14" s="51"/>
      <c r="O14" s="52"/>
      <c r="P14" s="51"/>
      <c r="Q14" s="52"/>
      <c r="R14" s="51"/>
      <c r="S14" s="52"/>
      <c r="T14" s="64"/>
      <c r="U14" s="55"/>
      <c r="V14" s="56"/>
      <c r="W14" s="53"/>
      <c r="X14" s="54"/>
      <c r="Y14" s="53"/>
      <c r="Z14" s="57"/>
      <c r="AA14" s="55"/>
      <c r="AB14" s="56"/>
      <c r="AC14" s="58"/>
      <c r="AD14" s="59"/>
      <c r="AE14" s="58"/>
      <c r="AF14" s="60"/>
      <c r="AI14" s="48"/>
    </row>
    <row r="15" spans="1:36" s="45" customFormat="1" ht="17" customHeight="1" x14ac:dyDescent="0.2">
      <c r="A15" s="47"/>
      <c r="B15" s="48"/>
      <c r="D15" s="49"/>
      <c r="E15" s="50"/>
      <c r="F15" s="51"/>
      <c r="G15" s="52"/>
      <c r="H15" s="51"/>
      <c r="I15" s="52"/>
      <c r="J15" s="51"/>
      <c r="K15" s="52"/>
      <c r="L15" s="51"/>
      <c r="M15" s="52"/>
      <c r="N15" s="51"/>
      <c r="O15" s="52"/>
      <c r="P15" s="51"/>
      <c r="Q15" s="52"/>
      <c r="R15" s="51"/>
      <c r="S15" s="52"/>
      <c r="T15" s="64"/>
      <c r="U15" s="55"/>
      <c r="V15" s="56"/>
      <c r="W15" s="53"/>
      <c r="X15" s="54"/>
      <c r="Y15" s="53"/>
      <c r="Z15" s="57"/>
      <c r="AA15" s="55"/>
      <c r="AB15" s="56"/>
      <c r="AC15" s="58"/>
      <c r="AD15" s="59"/>
      <c r="AE15" s="58"/>
      <c r="AF15" s="60"/>
      <c r="AI15" s="48"/>
    </row>
    <row r="16" spans="1:36" s="45" customFormat="1" x14ac:dyDescent="0.2">
      <c r="A16" s="47"/>
      <c r="B16" s="48"/>
      <c r="D16" s="49"/>
      <c r="E16" s="50"/>
      <c r="F16" s="51"/>
      <c r="G16" s="52"/>
      <c r="H16" s="51"/>
      <c r="I16" s="52"/>
      <c r="J16" s="51"/>
      <c r="K16" s="52"/>
      <c r="L16" s="51"/>
      <c r="M16" s="52"/>
      <c r="N16" s="51"/>
      <c r="O16" s="52"/>
      <c r="P16" s="51"/>
      <c r="Q16" s="52"/>
      <c r="R16" s="51"/>
      <c r="S16" s="52"/>
      <c r="T16" s="64"/>
      <c r="U16" s="55"/>
      <c r="V16" s="56"/>
      <c r="W16" s="53"/>
      <c r="X16" s="54"/>
      <c r="Y16" s="53"/>
      <c r="Z16" s="57"/>
      <c r="AA16" s="55"/>
      <c r="AB16" s="56"/>
      <c r="AC16" s="58"/>
      <c r="AD16" s="59"/>
      <c r="AE16" s="58"/>
      <c r="AF16" s="60"/>
      <c r="AI16" s="48"/>
    </row>
    <row r="17" spans="1:35" s="45" customFormat="1" x14ac:dyDescent="0.2">
      <c r="A17" s="47"/>
      <c r="B17" s="48"/>
      <c r="D17" s="49"/>
      <c r="E17" s="50"/>
      <c r="F17" s="51"/>
      <c r="G17" s="52"/>
      <c r="H17" s="51"/>
      <c r="I17" s="52"/>
      <c r="J17" s="51"/>
      <c r="K17" s="52"/>
      <c r="L17" s="51"/>
      <c r="M17" s="52"/>
      <c r="N17" s="51"/>
      <c r="O17" s="52"/>
      <c r="P17" s="51"/>
      <c r="Q17" s="52"/>
      <c r="R17" s="51"/>
      <c r="S17" s="52"/>
      <c r="T17" s="64"/>
      <c r="U17" s="55"/>
      <c r="V17" s="56"/>
      <c r="W17" s="53"/>
      <c r="X17" s="54"/>
      <c r="Y17" s="53"/>
      <c r="Z17" s="57"/>
      <c r="AA17" s="55"/>
      <c r="AB17" s="56"/>
      <c r="AC17" s="58"/>
      <c r="AD17" s="59"/>
      <c r="AE17" s="58"/>
      <c r="AF17" s="60"/>
      <c r="AI17" s="48"/>
    </row>
    <row r="18" spans="1:35" s="45" customFormat="1" x14ac:dyDescent="0.2">
      <c r="A18" s="47"/>
      <c r="B18" s="48"/>
      <c r="D18" s="49"/>
      <c r="E18" s="50"/>
      <c r="F18" s="51"/>
      <c r="G18" s="52"/>
      <c r="H18" s="51"/>
      <c r="I18" s="52"/>
      <c r="J18" s="51"/>
      <c r="K18" s="52"/>
      <c r="L18" s="51"/>
      <c r="M18" s="52"/>
      <c r="N18" s="51"/>
      <c r="O18" s="52"/>
      <c r="P18" s="51"/>
      <c r="Q18" s="52"/>
      <c r="R18" s="51"/>
      <c r="S18" s="52"/>
      <c r="T18" s="64"/>
      <c r="U18" s="55"/>
      <c r="V18" s="56"/>
      <c r="W18" s="53"/>
      <c r="X18" s="54"/>
      <c r="Y18" s="53"/>
      <c r="Z18" s="57"/>
      <c r="AA18" s="55"/>
      <c r="AB18" s="56"/>
      <c r="AC18" s="58"/>
      <c r="AD18" s="59"/>
      <c r="AE18" s="58"/>
      <c r="AF18" s="60"/>
      <c r="AI18" s="48"/>
    </row>
    <row r="19" spans="1:35" s="45" customFormat="1" x14ac:dyDescent="0.2">
      <c r="A19" s="47"/>
      <c r="B19" s="48"/>
      <c r="D19" s="49"/>
      <c r="E19" s="50"/>
      <c r="F19" s="51"/>
      <c r="G19" s="52"/>
      <c r="H19" s="51"/>
      <c r="I19" s="52"/>
      <c r="J19" s="51"/>
      <c r="K19" s="52"/>
      <c r="L19" s="51"/>
      <c r="M19" s="52"/>
      <c r="N19" s="51"/>
      <c r="O19" s="52"/>
      <c r="P19" s="51"/>
      <c r="Q19" s="52"/>
      <c r="R19" s="51"/>
      <c r="S19" s="52"/>
      <c r="T19" s="64"/>
      <c r="U19" s="55"/>
      <c r="V19" s="56"/>
      <c r="W19" s="53"/>
      <c r="X19" s="54"/>
      <c r="Y19" s="53"/>
      <c r="Z19" s="57"/>
      <c r="AA19" s="55"/>
      <c r="AB19" s="56"/>
      <c r="AC19" s="58"/>
      <c r="AD19" s="59"/>
      <c r="AE19" s="58"/>
      <c r="AF19" s="60"/>
      <c r="AI19" s="48"/>
    </row>
    <row r="20" spans="1:35" s="45" customFormat="1" x14ac:dyDescent="0.2">
      <c r="A20" s="47"/>
      <c r="B20" s="48"/>
      <c r="D20" s="49"/>
      <c r="E20" s="50"/>
      <c r="F20" s="51"/>
      <c r="G20" s="52"/>
      <c r="H20" s="51"/>
      <c r="I20" s="52"/>
      <c r="J20" s="51"/>
      <c r="K20" s="52"/>
      <c r="L20" s="51"/>
      <c r="M20" s="52"/>
      <c r="N20" s="51"/>
      <c r="O20" s="52"/>
      <c r="P20" s="51"/>
      <c r="Q20" s="52"/>
      <c r="R20" s="51"/>
      <c r="S20" s="52"/>
      <c r="T20" s="64"/>
      <c r="U20" s="55"/>
      <c r="V20" s="56"/>
      <c r="W20" s="53"/>
      <c r="X20" s="54"/>
      <c r="Y20" s="53"/>
      <c r="Z20" s="57"/>
      <c r="AA20" s="55"/>
      <c r="AB20" s="56"/>
      <c r="AC20" s="58"/>
      <c r="AD20" s="59"/>
      <c r="AE20" s="58"/>
      <c r="AF20" s="60"/>
      <c r="AI20" s="48"/>
    </row>
    <row r="21" spans="1:35" s="45" customFormat="1" x14ac:dyDescent="0.2">
      <c r="A21" s="47"/>
      <c r="B21" s="48"/>
      <c r="D21" s="49"/>
      <c r="E21" s="50"/>
      <c r="F21" s="51"/>
      <c r="G21" s="52"/>
      <c r="H21" s="51"/>
      <c r="I21" s="52"/>
      <c r="J21" s="51"/>
      <c r="K21" s="52"/>
      <c r="L21" s="51"/>
      <c r="M21" s="52"/>
      <c r="N21" s="51"/>
      <c r="O21" s="52"/>
      <c r="P21" s="51"/>
      <c r="Q21" s="52"/>
      <c r="R21" s="51"/>
      <c r="S21" s="52"/>
      <c r="T21" s="64"/>
      <c r="U21" s="55"/>
      <c r="V21" s="56"/>
      <c r="W21" s="53"/>
      <c r="X21" s="54"/>
      <c r="Y21" s="53"/>
      <c r="Z21" s="57"/>
      <c r="AA21" s="55"/>
      <c r="AB21" s="56"/>
      <c r="AC21" s="58"/>
      <c r="AD21" s="59"/>
      <c r="AE21" s="58"/>
      <c r="AF21" s="60"/>
      <c r="AI21" s="4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E002-C8BB-8E47-A415-52259E56BE73}">
  <dimension ref="A1:I5"/>
  <sheetViews>
    <sheetView tabSelected="1" workbookViewId="0">
      <selection activeCell="D11" sqref="D11:D12"/>
    </sheetView>
  </sheetViews>
  <sheetFormatPr baseColWidth="10" defaultRowHeight="16" x14ac:dyDescent="0.2"/>
  <cols>
    <col min="2" max="2" width="39.5" customWidth="1"/>
    <col min="3" max="3" width="32.6640625" customWidth="1"/>
    <col min="4" max="4" width="38.83203125" customWidth="1"/>
    <col min="6" max="6" width="18.1640625" customWidth="1"/>
    <col min="7" max="7" width="24.5" customWidth="1"/>
    <col min="8" max="8" width="27.83203125" customWidth="1"/>
    <col min="9" max="9" width="28.1640625" customWidth="1"/>
  </cols>
  <sheetData>
    <row r="1" spans="1:9" x14ac:dyDescent="0.2">
      <c r="A1" s="85" t="s">
        <v>0</v>
      </c>
      <c r="B1" s="85" t="s">
        <v>1</v>
      </c>
      <c r="C1" s="85" t="s">
        <v>58</v>
      </c>
      <c r="D1" s="85" t="s">
        <v>262</v>
      </c>
      <c r="E1" s="85" t="s">
        <v>263</v>
      </c>
      <c r="F1" s="85" t="s">
        <v>264</v>
      </c>
      <c r="G1" s="85" t="s">
        <v>285</v>
      </c>
      <c r="H1" s="85" t="s">
        <v>15</v>
      </c>
      <c r="I1" s="87" t="s">
        <v>270</v>
      </c>
    </row>
    <row r="2" spans="1:9" x14ac:dyDescent="0.2">
      <c r="A2" s="86" t="s">
        <v>265</v>
      </c>
      <c r="B2" s="86" t="s">
        <v>277</v>
      </c>
      <c r="C2" s="86" t="s">
        <v>266</v>
      </c>
      <c r="D2" s="86" t="s">
        <v>267</v>
      </c>
      <c r="E2" s="86" t="s">
        <v>268</v>
      </c>
      <c r="F2" s="86">
        <v>90</v>
      </c>
      <c r="G2" s="86">
        <v>1.25</v>
      </c>
      <c r="H2" s="86" t="s">
        <v>269</v>
      </c>
      <c r="I2" t="s">
        <v>271</v>
      </c>
    </row>
    <row r="3" spans="1:9" x14ac:dyDescent="0.2">
      <c r="A3" t="s">
        <v>272</v>
      </c>
      <c r="B3" t="s">
        <v>278</v>
      </c>
      <c r="C3" s="86" t="s">
        <v>273</v>
      </c>
      <c r="D3" s="86" t="s">
        <v>274</v>
      </c>
      <c r="E3" s="86" t="s">
        <v>268</v>
      </c>
      <c r="F3">
        <v>90</v>
      </c>
      <c r="G3">
        <v>1.5</v>
      </c>
      <c r="H3" s="86" t="s">
        <v>276</v>
      </c>
      <c r="I3" t="s">
        <v>275</v>
      </c>
    </row>
    <row r="4" spans="1:9" x14ac:dyDescent="0.2">
      <c r="A4" t="s">
        <v>279</v>
      </c>
      <c r="B4" t="s">
        <v>280</v>
      </c>
      <c r="C4" s="86" t="s">
        <v>281</v>
      </c>
      <c r="D4" s="86" t="s">
        <v>282</v>
      </c>
      <c r="E4" s="86" t="s">
        <v>268</v>
      </c>
      <c r="F4">
        <v>90</v>
      </c>
      <c r="G4">
        <v>1.25</v>
      </c>
      <c r="H4" s="86" t="s">
        <v>283</v>
      </c>
      <c r="I4" t="s">
        <v>284</v>
      </c>
    </row>
    <row r="5" spans="1:9" x14ac:dyDescent="0.2">
      <c r="A5" t="s">
        <v>286</v>
      </c>
      <c r="B5" t="s">
        <v>287</v>
      </c>
      <c r="C5" s="86" t="s">
        <v>288</v>
      </c>
      <c r="D5" s="86" t="s">
        <v>289</v>
      </c>
      <c r="E5" s="86" t="s">
        <v>268</v>
      </c>
      <c r="F5">
        <v>90</v>
      </c>
      <c r="G5">
        <v>1.25</v>
      </c>
      <c r="H5" s="86" t="s">
        <v>290</v>
      </c>
      <c r="I5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PINCH</vt:lpstr>
      <vt:lpstr>MAP</vt:lpstr>
      <vt:lpstr>BONUS</vt:lpstr>
      <vt:lpstr>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Black</dc:creator>
  <cp:lastModifiedBy>Brent Black</cp:lastModifiedBy>
  <dcterms:created xsi:type="dcterms:W3CDTF">2026-03-07T23:34:00Z</dcterms:created>
  <dcterms:modified xsi:type="dcterms:W3CDTF">2026-03-11T17:07:16Z</dcterms:modified>
</cp:coreProperties>
</file>